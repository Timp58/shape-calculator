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rels" ContentType="application/vnd.openxmlformats-package.relationships+xml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drawings/drawing1.xml" ContentType="application/vnd.openxmlformats-officedocument.drawing+xml"/>
  <Override PartName="/xl/calcChain.xml" ContentType="application/vnd.openxmlformats-officedocument.spreadsheetml.calcChain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mc:Ignorable="x15">
  <fileVersion appName="xl" lastEdited="7" lowestEdited="5" rupBuild="18431" codeName="{B1203076-2D4D-A25B-A398-973B695A806A}"/>
  <workbookPr codeName="ThisWorkbook" defaultThemeVersion="124226"/>
  <mc:AlternateContent xmlns:mc="http://schemas.openxmlformats.org/markup-compatibility/2006">
    <mc:Choice Requires="x15">
      <x15ac:absPath xmlns:x15ac="http://schemas.microsoft.com/office/spreadsheetml/2010/11/ac" url="C:\Users\POP48892\OneDrive - Mott MacDonald\Spreadsheets with VBA\"/>
    </mc:Choice>
  </mc:AlternateContent>
  <bookViews>
    <workbookView minimized="1" xWindow="480" yWindow="60" windowWidth="17475" windowHeight="7950"/>
  </bookViews>
  <sheets>
    <sheet name="Compound Sections" sheetId="1" r:id="rId1"/>
  </sheets>
  <calcPr calcId="171027"/>
</workbook>
</file>

<file path=xl/calcChain.xml><?xml version="1.0" encoding="utf-8"?>
<calcChain xmlns="http://schemas.openxmlformats.org/spreadsheetml/2006/main">
  <c r="A11" i="1" l="1"/>
  <c r="A10" i="1"/>
  <c r="A9" i="1"/>
  <c r="A8" i="1"/>
  <c r="A7" i="1"/>
  <c r="A6" i="1"/>
  <c r="K7" i="1" l="1"/>
  <c r="K8" i="1"/>
  <c r="K9" i="1"/>
  <c r="K10" i="1"/>
  <c r="K11" i="1"/>
  <c r="K6" i="1"/>
  <c r="D12" i="1"/>
  <c r="K12" i="1" l="1"/>
  <c r="I20" i="1" s="1"/>
  <c r="E8" i="1"/>
  <c r="F8" i="1" s="1"/>
  <c r="J7" i="1"/>
  <c r="J8" i="1"/>
  <c r="J9" i="1"/>
  <c r="J10" i="1"/>
  <c r="J11" i="1"/>
  <c r="J6" i="1"/>
  <c r="E7" i="1"/>
  <c r="F7" i="1" s="1"/>
  <c r="E9" i="1"/>
  <c r="F9" i="1" s="1"/>
  <c r="E10" i="1"/>
  <c r="F10" i="1" s="1"/>
  <c r="E11" i="1"/>
  <c r="F11" i="1" s="1"/>
  <c r="E6" i="1"/>
  <c r="F6" i="1" s="1"/>
  <c r="G10" i="1" l="1"/>
  <c r="G6" i="1"/>
  <c r="G7" i="1"/>
  <c r="J12" i="1"/>
  <c r="G9" i="1"/>
  <c r="G11" i="1"/>
  <c r="G8" i="1"/>
  <c r="E12" i="1"/>
  <c r="I18" i="1" s="1"/>
  <c r="I24" i="1" s="1"/>
  <c r="G12" i="1" l="1"/>
  <c r="I17" i="1" s="1"/>
  <c r="H10" i="1" l="1"/>
  <c r="I10" i="1" s="1"/>
  <c r="H11" i="1"/>
  <c r="I11" i="1" s="1"/>
  <c r="H8" i="1"/>
  <c r="I8" i="1" s="1"/>
  <c r="H9" i="1"/>
  <c r="I9" i="1" s="1"/>
  <c r="H6" i="1"/>
  <c r="I6" i="1" s="1"/>
  <c r="H7" i="1"/>
  <c r="I7" i="1" s="1"/>
  <c r="I12" i="1" l="1"/>
  <c r="I19" i="1" s="1"/>
  <c r="I22" i="1" l="1"/>
  <c r="I21" i="1"/>
  <c r="I23" i="1"/>
</calcChain>
</file>

<file path=xl/sharedStrings.xml><?xml version="1.0" encoding="utf-8"?>
<sst xmlns="http://schemas.openxmlformats.org/spreadsheetml/2006/main" count="41" uniqueCount="32">
  <si>
    <t>Part</t>
  </si>
  <si>
    <t>b</t>
  </si>
  <si>
    <t>d</t>
  </si>
  <si>
    <t>Area</t>
  </si>
  <si>
    <t>y</t>
  </si>
  <si>
    <t>Ay</t>
  </si>
  <si>
    <t>A(y-ỹ)²</t>
  </si>
  <si>
    <t>(cm)</t>
  </si>
  <si>
    <t>(cm³)</t>
  </si>
  <si>
    <r>
      <t>(cm</t>
    </r>
    <r>
      <rPr>
        <vertAlign val="superscript"/>
        <sz val="10"/>
        <color theme="1"/>
        <rFont val="Arial"/>
        <family val="2"/>
      </rPr>
      <t>4</t>
    </r>
    <r>
      <rPr>
        <sz val="10"/>
        <color theme="1"/>
        <rFont val="Arial"/>
        <family val="2"/>
      </rPr>
      <t>)</t>
    </r>
  </si>
  <si>
    <t>ỹ=</t>
  </si>
  <si>
    <t>cm</t>
  </si>
  <si>
    <t>y-ỹ</t>
  </si>
  <si>
    <t>Ʃ</t>
  </si>
  <si>
    <t>A=</t>
  </si>
  <si>
    <t>cm²</t>
  </si>
  <si>
    <t>Properties of compound section</t>
  </si>
  <si>
    <t>Top flange</t>
  </si>
  <si>
    <t>Web</t>
  </si>
  <si>
    <t>Ref</t>
  </si>
  <si>
    <t>Bottom plate</t>
  </si>
  <si>
    <r>
      <t>r</t>
    </r>
    <r>
      <rPr>
        <b/>
        <vertAlign val="subscript"/>
        <sz val="10"/>
        <color theme="1"/>
        <rFont val="Arial"/>
        <family val="2"/>
      </rPr>
      <t>y</t>
    </r>
    <r>
      <rPr>
        <b/>
        <sz val="10"/>
        <color theme="1"/>
        <rFont val="Arial"/>
        <family val="2"/>
      </rPr>
      <t>=</t>
    </r>
  </si>
  <si>
    <r>
      <t>Z</t>
    </r>
    <r>
      <rPr>
        <b/>
        <vertAlign val="subscript"/>
        <sz val="10"/>
        <color theme="1"/>
        <rFont val="Arial"/>
        <family val="2"/>
      </rPr>
      <t>min</t>
    </r>
    <r>
      <rPr>
        <b/>
        <sz val="10"/>
        <color theme="1"/>
        <rFont val="Arial"/>
        <family val="2"/>
      </rPr>
      <t>=</t>
    </r>
  </si>
  <si>
    <r>
      <t>Z</t>
    </r>
    <r>
      <rPr>
        <b/>
        <vertAlign val="subscript"/>
        <sz val="10"/>
        <color theme="1"/>
        <rFont val="Arial"/>
        <family val="2"/>
      </rPr>
      <t>max</t>
    </r>
    <r>
      <rPr>
        <b/>
        <sz val="10"/>
        <color theme="1"/>
        <rFont val="Arial"/>
        <family val="2"/>
      </rPr>
      <t>=</t>
    </r>
  </si>
  <si>
    <r>
      <t>I</t>
    </r>
    <r>
      <rPr>
        <b/>
        <vertAlign val="subscript"/>
        <sz val="10"/>
        <color theme="1"/>
        <rFont val="Arial"/>
        <family val="2"/>
      </rPr>
      <t>xx</t>
    </r>
    <r>
      <rPr>
        <b/>
        <sz val="10"/>
        <color theme="1"/>
        <rFont val="Arial"/>
        <family val="2"/>
      </rPr>
      <t>=</t>
    </r>
  </si>
  <si>
    <r>
      <t>cm</t>
    </r>
    <r>
      <rPr>
        <b/>
        <vertAlign val="superscript"/>
        <sz val="10"/>
        <color theme="1"/>
        <rFont val="Arial"/>
        <family val="2"/>
      </rPr>
      <t>4</t>
    </r>
  </si>
  <si>
    <r>
      <t>cm</t>
    </r>
    <r>
      <rPr>
        <b/>
        <sz val="10"/>
        <color theme="1"/>
        <rFont val="Calibri"/>
        <family val="2"/>
      </rPr>
      <t>³</t>
    </r>
  </si>
  <si>
    <t>Ix part</t>
  </si>
  <si>
    <t>Iy part</t>
  </si>
  <si>
    <r>
      <t>I</t>
    </r>
    <r>
      <rPr>
        <b/>
        <vertAlign val="subscript"/>
        <sz val="10"/>
        <color theme="1"/>
        <rFont val="Arial"/>
        <family val="2"/>
      </rPr>
      <t>yy</t>
    </r>
    <r>
      <rPr>
        <b/>
        <sz val="10"/>
        <color theme="1"/>
        <rFont val="Arial"/>
        <family val="2"/>
      </rPr>
      <t>=</t>
    </r>
  </si>
  <si>
    <r>
      <t>r</t>
    </r>
    <r>
      <rPr>
        <b/>
        <vertAlign val="subscript"/>
        <sz val="10"/>
        <color theme="1"/>
        <rFont val="Arial"/>
        <family val="2"/>
      </rPr>
      <t>x</t>
    </r>
    <r>
      <rPr>
        <b/>
        <sz val="10"/>
        <color theme="1"/>
        <rFont val="Arial"/>
        <family val="2"/>
      </rPr>
      <t>=</t>
    </r>
  </si>
  <si>
    <r>
      <t>(cm</t>
    </r>
    <r>
      <rPr>
        <sz val="10"/>
        <color theme="1"/>
        <rFont val="Calibri"/>
        <family val="2"/>
      </rPr>
      <t>²</t>
    </r>
    <r>
      <rPr>
        <sz val="10"/>
        <color theme="1"/>
        <rFont val="Arial"/>
        <family val="2"/>
      </rPr>
      <t>)</t>
    </r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</si>
</sst>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mc:Ignorable="x14ac x16r2">
  <numFmts count="1">
    <numFmt numFmtId="164" formatCode="0.0"/>
  </numFmts>
  <fonts count="8" x14ac:knownFonts="1">
    <font>
      <sz val="10"/>
      <color theme="1"/>
      <name val="Arial"/>
      <family val="2"/>
    </font>
    <font>
      <vertAlign val="superscript"/>
      <sz val="10"/>
      <color theme="1"/>
      <name val="Arial"/>
      <family val="2"/>
    </font>
    <font>
      <b/>
      <sz val="10"/>
      <color theme="1"/>
      <name val="Arial"/>
      <family val="2"/>
    </font>
    <font>
      <b/>
      <vertAlign val="subscript"/>
      <sz val="10"/>
      <color theme="1"/>
      <name val="Arial"/>
      <family val="2"/>
    </font>
    <font>
      <b/>
      <vertAlign val="superscript"/>
      <sz val="10"/>
      <color theme="1"/>
      <name val="Arial"/>
      <family val="2"/>
    </font>
    <font>
      <b/>
      <sz val="10"/>
      <color theme="1"/>
      <name val="Calibri"/>
      <family val="2"/>
    </font>
    <font>
      <sz val="10"/>
      <color rgb="FFFF0000"/>
      <name val="Arial"/>
      <family val="2"/>
    </font>
    <font>
      <sz val="10"/>
      <color theme="1"/>
      <name val="Calibri"/>
      <family val="2"/>
    </font>
  </fonts>
  <fills count="3">
    <fill>
      <patternFill patternType="none"/>
    </fill>
    <fill>
      <patternFill patternType="gray125"/>
    </fill>
    <fill>
      <patternFill patternType="solid">
        <fgColor rgb="FFFFFF00"/>
        <bgColor indexed="64"/>
      </patternFill>
    </fill>
  </fills>
  <borders count="2">
    <border>
      <left/>
      <right/>
      <top/>
      <bottom/>
      <diagonal/>
    </border>
    <border>
      <left/>
      <right/>
      <top/>
      <bottom style="thin">
        <color indexed="64"/>
      </bottom>
      <diagonal/>
    </border>
  </borders>
  <cellStyleXfs count="1">
    <xf numFmtId="0" fontId="0" fillId="0" borderId="0"/>
  </cellStyleXfs>
  <cellXfs count="19">
    <xf numFmtId="0" fontId="0" fillId="0" borderId="0" xfId="0"/>
    <xf numFmtId="0" fontId="0" fillId="0" borderId="0" xfId="0" applyAlignment="1">
      <alignment horizontal="center"/>
    </xf>
    <xf numFmtId="0" fontId="0" fillId="0" borderId="0" xfId="0" applyAlignment="1">
      <alignment horizontal="right"/>
    </xf>
    <xf numFmtId="2" fontId="0" fillId="0" borderId="0" xfId="0" applyNumberFormat="1"/>
    <xf numFmtId="164" fontId="0" fillId="0" borderId="0" xfId="0" applyNumberFormat="1"/>
    <xf numFmtId="164" fontId="0" fillId="0" borderId="1" xfId="0" applyNumberFormat="1" applyBorder="1"/>
    <xf numFmtId="2" fontId="0" fillId="0" borderId="0" xfId="0" applyNumberFormat="1" applyBorder="1"/>
    <xf numFmtId="0" fontId="0" fillId="0" borderId="0" xfId="0" applyAlignment="1">
      <alignment vertical="center"/>
    </xf>
    <xf numFmtId="164" fontId="0" fillId="2" borderId="0" xfId="0" applyNumberFormat="1" applyFill="1"/>
    <xf numFmtId="2" fontId="0" fillId="0" borderId="0" xfId="0" applyNumberFormat="1" applyFill="1"/>
    <xf numFmtId="2" fontId="2" fillId="0" borderId="0" xfId="0" applyNumberFormat="1" applyFont="1"/>
    <xf numFmtId="164" fontId="2" fillId="0" borderId="0" xfId="0" applyNumberFormat="1" applyFont="1"/>
    <xf numFmtId="0" fontId="2" fillId="0" borderId="0" xfId="0" applyFont="1" applyAlignment="1">
      <alignment horizontal="right"/>
    </xf>
    <xf numFmtId="0" fontId="0" fillId="0" borderId="0" xfId="0" applyAlignment="1">
      <alignment horizontal="center"/>
    </xf>
    <xf numFmtId="164" fontId="0" fillId="2" borderId="1" xfId="0" applyNumberFormat="1" applyFill="1" applyBorder="1"/>
    <xf numFmtId="0" fontId="2" fillId="0" borderId="0" xfId="0" applyFont="1"/>
    <xf numFmtId="0" fontId="2" fillId="0" borderId="0" xfId="0" applyFont="1" applyAlignment="1">
      <alignment horizontal="left"/>
    </xf>
    <xf numFmtId="0" fontId="0" fillId="0" borderId="0" xfId="0" applyAlignment="1">
      <alignment horizontal="center"/>
    </xf>
    <xf numFmtId="0" fontId="6" fillId="0" borderId="0" xfId="0" applyFont="1" applyAlignment="1">
      <alignment horizontal="center"/>
    </xf>
  </cellXfs>
  <cellStyles count="1">
    <cellStyle name="Normal" xfId="0" builtinId="0"/>
  </cellStyles>
  <dxfs count="0"/>
  <tableStyles count="0" defaultTableStyle="TableStyleMedium2" defaultPivotStyle="PivotStyleLight16"/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3" Type="http://schemas.openxmlformats.org/officeDocument/2006/relationships/styles" Target="styles.xml"/><Relationship Id="rId2" Type="http://schemas.openxmlformats.org/officeDocument/2006/relationships/theme" Target="theme/theme1.xml"/><Relationship Id="rId1" Type="http://schemas.openxmlformats.org/officeDocument/2006/relationships/worksheet" Target="worksheets/sheet1.xml"/><Relationship Id="rId6" Type="http://schemas.microsoft.com/office/2006/relationships/vbaProject" Target="vbaProject.bin"/><Relationship Id="rId5" Type="http://schemas.openxmlformats.org/officeDocument/2006/relationships/calcChain" Target="calcChain.xml"/><Relationship Id="rId4" Type="http://schemas.openxmlformats.org/officeDocument/2006/relationships/sharedStrings" Target="sharedStrings.xml"/></Relationships>
</file>

<file path=xl/drawings/drawing1.xml><?xml version="1.0" encoding="utf-8"?>
<xdr:wsDr xmlns:xdr="http://schemas.openxmlformats.org/drawingml/2006/spreadsheetDrawing" xmlns:a="http://schemas.openxmlformats.org/drawingml/2006/main">
  <xdr:twoCellAnchor>
    <xdr:from>
      <xdr:col>14</xdr:col>
      <xdr:colOff>327025</xdr:colOff>
      <xdr:row>17</xdr:row>
      <xdr:rowOff>85725</xdr:rowOff>
    </xdr:from>
    <xdr:to>
      <xdr:col>17</xdr:col>
      <xdr:colOff>403225</xdr:colOff>
      <xdr:row>18</xdr:row>
      <xdr:rowOff>114300</xdr:rowOff>
    </xdr:to>
    <xdr:sp macro="" textlink="">
      <xdr:nvSpPr>
        <xdr:cNvPr id="22" name="Rectangle 21">
          <a:extLst>
            <a:ext uri="{FF2B5EF4-FFF2-40B4-BE49-F238E27FC236}">
              <a16:creationId xmlns:a16="http://schemas.microsoft.com/office/drawing/2014/main" id="{00000000-0008-0000-0000-000016000000}"/>
            </a:ext>
          </a:extLst>
        </xdr:cNvPr>
        <xdr:cNvSpPr/>
      </xdr:nvSpPr>
      <xdr:spPr>
        <a:xfrm>
          <a:off x="8890000" y="2857500"/>
          <a:ext cx="1905000" cy="190500"/>
        </a:xfrm>
        <a:prstGeom prst="rect">
          <a:avLst/>
        </a:prstGeom>
        <a:gradFill>
          <a:gsLst>
            <a:gs pos="0">
              <a:schemeClr val="accent1">
                <a:lumMod val="5000"/>
                <a:lumOff val="95000"/>
              </a:schemeClr>
            </a:gs>
            <a:gs pos="74000">
              <a:schemeClr val="accent1">
                <a:lumMod val="45000"/>
                <a:lumOff val="55000"/>
              </a:schemeClr>
            </a:gs>
            <a:gs pos="83000">
              <a:schemeClr val="accent1">
                <a:lumMod val="45000"/>
                <a:lumOff val="55000"/>
              </a:schemeClr>
            </a:gs>
            <a:gs pos="100000">
              <a:schemeClr val="accent1">
                <a:lumMod val="30000"/>
                <a:lumOff val="70000"/>
              </a:schemeClr>
            </a:gs>
          </a:gsLst>
          <a:lin ang="5400000" scaled="1"/>
        </a:gradFill>
        <a:ln w="19050"/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r>
            <a:rPr lang="en-GB" sz="1100">
              <a:solidFill>
                <a:srgbClr xmlns:mc="http://schemas.openxmlformats.org/markup-compatibility/2006" xmlns:a14="http://schemas.microsoft.com/office/drawing/2010/main" val="FF0000" mc:Ignorable="a14" a14:legacySpreadsheetColorIndex="10"/>
              </a:solidFill>
            </a:rPr>
            <a:t>1</a:t>
          </a:r>
        </a:p>
      </xdr:txBody>
    </xdr:sp>
    <xdr:clientData/>
  </xdr:twoCellAnchor>
  <xdr:twoCellAnchor>
    <xdr:from>
      <xdr:col>15</xdr:col>
      <xdr:colOff>574675</xdr:colOff>
      <xdr:row>7</xdr:row>
      <xdr:rowOff>117475</xdr:rowOff>
    </xdr:from>
    <xdr:to>
      <xdr:col>16</xdr:col>
      <xdr:colOff>155575</xdr:colOff>
      <xdr:row>17</xdr:row>
      <xdr:rowOff>85725</xdr:rowOff>
    </xdr:to>
    <xdr:sp macro="" textlink="">
      <xdr:nvSpPr>
        <xdr:cNvPr id="23" name="Rectangle 22">
          <a:extLst>
            <a:ext uri="{FF2B5EF4-FFF2-40B4-BE49-F238E27FC236}">
              <a16:creationId xmlns:a16="http://schemas.microsoft.com/office/drawing/2014/main" id="{00000000-0008-0000-0000-000017000000}"/>
            </a:ext>
          </a:extLst>
        </xdr:cNvPr>
        <xdr:cNvSpPr/>
      </xdr:nvSpPr>
      <xdr:spPr>
        <a:xfrm>
          <a:off x="9747250" y="1270000"/>
          <a:ext cx="190500" cy="1587500"/>
        </a:xfrm>
        <a:prstGeom prst="rect">
          <a:avLst/>
        </a:prstGeom>
        <a:gradFill>
          <a:gsLst>
            <a:gs pos="0">
              <a:schemeClr val="accent1">
                <a:lumMod val="5000"/>
                <a:lumOff val="95000"/>
              </a:schemeClr>
            </a:gs>
            <a:gs pos="74000">
              <a:schemeClr val="accent1">
                <a:lumMod val="45000"/>
                <a:lumOff val="55000"/>
              </a:schemeClr>
            </a:gs>
            <a:gs pos="83000">
              <a:schemeClr val="accent1">
                <a:lumMod val="45000"/>
                <a:lumOff val="55000"/>
              </a:schemeClr>
            </a:gs>
            <a:gs pos="100000">
              <a:schemeClr val="accent1">
                <a:lumMod val="30000"/>
                <a:lumOff val="70000"/>
              </a:schemeClr>
            </a:gs>
          </a:gsLst>
          <a:lin ang="5400000" scaled="1"/>
        </a:gradFill>
        <a:ln w="19050"/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r>
            <a:rPr lang="en-GB" sz="1100">
              <a:solidFill>
                <a:srgbClr xmlns:mc="http://schemas.openxmlformats.org/markup-compatibility/2006" xmlns:a14="http://schemas.microsoft.com/office/drawing/2010/main" val="FF0000" mc:Ignorable="a14" a14:legacySpreadsheetColorIndex="10"/>
              </a:solidFill>
            </a:rPr>
            <a:t>2</a:t>
          </a:r>
        </a:p>
      </xdr:txBody>
    </xdr:sp>
    <xdr:clientData/>
  </xdr:twoCellAnchor>
  <xdr:twoCellAnchor>
    <xdr:from>
      <xdr:col>14</xdr:col>
      <xdr:colOff>581025</xdr:colOff>
      <xdr:row>6</xdr:row>
      <xdr:rowOff>25400</xdr:rowOff>
    </xdr:from>
    <xdr:to>
      <xdr:col>17</xdr:col>
      <xdr:colOff>149225</xdr:colOff>
      <xdr:row>7</xdr:row>
      <xdr:rowOff>117475</xdr:rowOff>
    </xdr:to>
    <xdr:sp macro="" textlink="">
      <xdr:nvSpPr>
        <xdr:cNvPr id="24" name="Rectangle 23">
          <a:extLst>
            <a:ext uri="{FF2B5EF4-FFF2-40B4-BE49-F238E27FC236}">
              <a16:creationId xmlns:a16="http://schemas.microsoft.com/office/drawing/2014/main" id="{00000000-0008-0000-0000-000018000000}"/>
            </a:ext>
          </a:extLst>
        </xdr:cNvPr>
        <xdr:cNvSpPr/>
      </xdr:nvSpPr>
      <xdr:spPr>
        <a:xfrm>
          <a:off x="9144000" y="1016000"/>
          <a:ext cx="1397000" cy="254000"/>
        </a:xfrm>
        <a:prstGeom prst="rect">
          <a:avLst/>
        </a:prstGeom>
        <a:gradFill>
          <a:gsLst>
            <a:gs pos="0">
              <a:schemeClr val="accent1">
                <a:lumMod val="5000"/>
                <a:lumOff val="95000"/>
              </a:schemeClr>
            </a:gs>
            <a:gs pos="74000">
              <a:schemeClr val="accent1">
                <a:lumMod val="45000"/>
                <a:lumOff val="55000"/>
              </a:schemeClr>
            </a:gs>
            <a:gs pos="83000">
              <a:schemeClr val="accent1">
                <a:lumMod val="45000"/>
                <a:lumOff val="55000"/>
              </a:schemeClr>
            </a:gs>
            <a:gs pos="100000">
              <a:schemeClr val="accent1">
                <a:lumMod val="30000"/>
                <a:lumOff val="70000"/>
              </a:schemeClr>
            </a:gs>
          </a:gsLst>
          <a:lin ang="5400000" scaled="1"/>
        </a:gradFill>
        <a:ln w="19050"/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r>
            <a:rPr lang="en-GB" sz="1100">
              <a:solidFill>
                <a:srgbClr xmlns:mc="http://schemas.openxmlformats.org/markup-compatibility/2006" xmlns:a14="http://schemas.microsoft.com/office/drawing/2010/main" val="FF0000" mc:Ignorable="a14" a14:legacySpreadsheetColorIndex="10"/>
              </a:solidFill>
            </a:rPr>
            <a:t>3</a:t>
          </a:r>
        </a:p>
      </xdr:txBody>
    </xdr:sp>
    <xdr:clientData/>
  </xdr:twoCellAnchor>
  <xdr:twoCellAnchor>
    <xdr:from>
      <xdr:col>16</xdr:col>
      <xdr:colOff>60325</xdr:colOff>
      <xdr:row>18</xdr:row>
      <xdr:rowOff>114300</xdr:rowOff>
    </xdr:from>
    <xdr:to>
      <xdr:col>16</xdr:col>
      <xdr:colOff>60325</xdr:colOff>
      <xdr:row>18</xdr:row>
      <xdr:rowOff>114300</xdr:rowOff>
    </xdr:to>
    <xdr:sp macro="" textlink="">
      <xdr:nvSpPr>
        <xdr:cNvPr id="25" name="Rectangle 24" hidden="1">
          <a:extLst>
            <a:ext uri="{FF2B5EF4-FFF2-40B4-BE49-F238E27FC236}">
              <a16:creationId xmlns:a16="http://schemas.microsoft.com/office/drawing/2014/main" id="{00000000-0008-0000-0000-000019000000}"/>
            </a:ext>
          </a:extLst>
        </xdr:cNvPr>
        <xdr:cNvSpPr/>
      </xdr:nvSpPr>
      <xdr:spPr>
        <a:xfrm>
          <a:off x="9842500" y="3048000"/>
          <a:ext cx="0" cy="0"/>
        </a:xfrm>
        <a:prstGeom prst="rect">
          <a:avLst/>
        </a:prstGeom>
        <a:gradFill>
          <a:gsLst>
            <a:gs pos="0">
              <a:schemeClr val="accent1">
                <a:lumMod val="5000"/>
                <a:lumOff val="95000"/>
              </a:schemeClr>
            </a:gs>
            <a:gs pos="74000">
              <a:schemeClr val="accent1">
                <a:lumMod val="45000"/>
                <a:lumOff val="55000"/>
              </a:schemeClr>
            </a:gs>
            <a:gs pos="83000">
              <a:schemeClr val="accent1">
                <a:lumMod val="45000"/>
                <a:lumOff val="55000"/>
              </a:schemeClr>
            </a:gs>
            <a:gs pos="100000">
              <a:schemeClr val="accent1">
                <a:lumMod val="30000"/>
                <a:lumOff val="70000"/>
              </a:schemeClr>
            </a:gs>
          </a:gsLst>
          <a:lin ang="5400000" scaled="1"/>
        </a:gradFill>
        <a:ln w="19050"/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r>
            <a:rPr lang="en-GB" sz="1100">
              <a:solidFill>
                <a:srgbClr xmlns:mc="http://schemas.openxmlformats.org/markup-compatibility/2006" xmlns:a14="http://schemas.microsoft.com/office/drawing/2010/main" val="FF0000" mc:Ignorable="a14" a14:legacySpreadsheetColorIndex="10"/>
              </a:solidFill>
            </a:rPr>
            <a:t>4</a:t>
          </a:r>
        </a:p>
      </xdr:txBody>
    </xdr:sp>
    <xdr:clientData/>
  </xdr:twoCellAnchor>
  <xdr:twoCellAnchor>
    <xdr:from>
      <xdr:col>16</xdr:col>
      <xdr:colOff>60325</xdr:colOff>
      <xdr:row>18</xdr:row>
      <xdr:rowOff>114300</xdr:rowOff>
    </xdr:from>
    <xdr:to>
      <xdr:col>16</xdr:col>
      <xdr:colOff>60325</xdr:colOff>
      <xdr:row>18</xdr:row>
      <xdr:rowOff>114300</xdr:rowOff>
    </xdr:to>
    <xdr:sp macro="" textlink="">
      <xdr:nvSpPr>
        <xdr:cNvPr id="26" name="Rectangle 25" hidden="1">
          <a:extLst>
            <a:ext uri="{FF2B5EF4-FFF2-40B4-BE49-F238E27FC236}">
              <a16:creationId xmlns:a16="http://schemas.microsoft.com/office/drawing/2014/main" id="{00000000-0008-0000-0000-00001A000000}"/>
            </a:ext>
          </a:extLst>
        </xdr:cNvPr>
        <xdr:cNvSpPr/>
      </xdr:nvSpPr>
      <xdr:spPr>
        <a:xfrm>
          <a:off x="9842500" y="3048000"/>
          <a:ext cx="0" cy="0"/>
        </a:xfrm>
        <a:prstGeom prst="rect">
          <a:avLst/>
        </a:prstGeom>
        <a:gradFill>
          <a:gsLst>
            <a:gs pos="0">
              <a:schemeClr val="accent1">
                <a:lumMod val="5000"/>
                <a:lumOff val="95000"/>
              </a:schemeClr>
            </a:gs>
            <a:gs pos="74000">
              <a:schemeClr val="accent1">
                <a:lumMod val="45000"/>
                <a:lumOff val="55000"/>
              </a:schemeClr>
            </a:gs>
            <a:gs pos="83000">
              <a:schemeClr val="accent1">
                <a:lumMod val="45000"/>
                <a:lumOff val="55000"/>
              </a:schemeClr>
            </a:gs>
            <a:gs pos="100000">
              <a:schemeClr val="accent1">
                <a:lumMod val="30000"/>
                <a:lumOff val="70000"/>
              </a:schemeClr>
            </a:gs>
          </a:gsLst>
          <a:lin ang="5400000" scaled="1"/>
        </a:gradFill>
        <a:ln w="19050"/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r>
            <a:rPr lang="en-GB" sz="1100">
              <a:solidFill>
                <a:srgbClr xmlns:mc="http://schemas.openxmlformats.org/markup-compatibility/2006" xmlns:a14="http://schemas.microsoft.com/office/drawing/2010/main" val="FF0000" mc:Ignorable="a14" a14:legacySpreadsheetColorIndex="10"/>
              </a:solidFill>
            </a:rPr>
            <a:t>5</a:t>
          </a:r>
        </a:p>
      </xdr:txBody>
    </xdr:sp>
    <xdr:clientData/>
  </xdr:twoCellAnchor>
  <xdr:twoCellAnchor>
    <xdr:from>
      <xdr:col>16</xdr:col>
      <xdr:colOff>60325</xdr:colOff>
      <xdr:row>18</xdr:row>
      <xdr:rowOff>114300</xdr:rowOff>
    </xdr:from>
    <xdr:to>
      <xdr:col>16</xdr:col>
      <xdr:colOff>60325</xdr:colOff>
      <xdr:row>18</xdr:row>
      <xdr:rowOff>114300</xdr:rowOff>
    </xdr:to>
    <xdr:sp macro="" textlink="">
      <xdr:nvSpPr>
        <xdr:cNvPr id="27" name="Rectangle 26" hidden="1">
          <a:extLst>
            <a:ext uri="{FF2B5EF4-FFF2-40B4-BE49-F238E27FC236}">
              <a16:creationId xmlns:a16="http://schemas.microsoft.com/office/drawing/2014/main" id="{00000000-0008-0000-0000-00001B000000}"/>
            </a:ext>
          </a:extLst>
        </xdr:cNvPr>
        <xdr:cNvSpPr/>
      </xdr:nvSpPr>
      <xdr:spPr>
        <a:xfrm>
          <a:off x="9842500" y="3048000"/>
          <a:ext cx="0" cy="0"/>
        </a:xfrm>
        <a:prstGeom prst="rect">
          <a:avLst/>
        </a:prstGeom>
        <a:gradFill>
          <a:gsLst>
            <a:gs pos="0">
              <a:schemeClr val="accent1">
                <a:lumMod val="5000"/>
                <a:lumOff val="95000"/>
              </a:schemeClr>
            </a:gs>
            <a:gs pos="74000">
              <a:schemeClr val="accent1">
                <a:lumMod val="45000"/>
                <a:lumOff val="55000"/>
              </a:schemeClr>
            </a:gs>
            <a:gs pos="83000">
              <a:schemeClr val="accent1">
                <a:lumMod val="45000"/>
                <a:lumOff val="55000"/>
              </a:schemeClr>
            </a:gs>
            <a:gs pos="100000">
              <a:schemeClr val="accent1">
                <a:lumMod val="30000"/>
                <a:lumOff val="70000"/>
              </a:schemeClr>
            </a:gs>
          </a:gsLst>
          <a:lin ang="5400000" scaled="1"/>
        </a:gradFill>
        <a:ln w="19050"/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r>
            <a:rPr lang="en-GB" sz="1100">
              <a:solidFill>
                <a:srgbClr xmlns:mc="http://schemas.openxmlformats.org/markup-compatibility/2006" xmlns:a14="http://schemas.microsoft.com/office/drawing/2010/main" val="FF0000" mc:Ignorable="a14" a14:legacySpreadsheetColorIndex="10"/>
              </a:solidFill>
            </a:rPr>
            <a:t>6</a:t>
          </a:r>
        </a:p>
      </xdr:txBody>
    </xdr:sp>
    <xdr:clientData/>
  </xdr:twoCellAnchor>
  <xdr:twoCellAnchor>
    <xdr:from>
      <xdr:col>0</xdr:col>
      <xdr:colOff>238125</xdr:colOff>
      <xdr:row>13</xdr:row>
      <xdr:rowOff>19050</xdr:rowOff>
    </xdr:from>
    <xdr:to>
      <xdr:col>7</xdr:col>
      <xdr:colOff>28575</xdr:colOff>
      <xdr:row>27</xdr:row>
      <xdr:rowOff>152400</xdr:rowOff>
    </xdr:to>
    <xdr:sp macro="" textlink="">
      <xdr:nvSpPr>
        <xdr:cNvPr id="32" name="TextBox 31">
          <a:extLst>
            <a:ext uri="{FF2B5EF4-FFF2-40B4-BE49-F238E27FC236}">
              <a16:creationId xmlns:a16="http://schemas.microsoft.com/office/drawing/2014/main" id="{00000000-0008-0000-0000-000020000000}"/>
            </a:ext>
          </a:extLst>
        </xdr:cNvPr>
        <xdr:cNvSpPr txBox="1"/>
      </xdr:nvSpPr>
      <xdr:spPr>
        <a:xfrm>
          <a:off x="238125" y="2143125"/>
          <a:ext cx="4114800" cy="2533650"/>
        </a:xfrm>
        <a:prstGeom prst="rect">
          <a:avLst/>
        </a:prstGeom>
        <a:gradFill>
          <a:gsLst>
            <a:gs pos="0">
              <a:schemeClr val="accent1">
                <a:lumMod val="5000"/>
                <a:lumOff val="95000"/>
              </a:schemeClr>
            </a:gs>
            <a:gs pos="74000">
              <a:schemeClr val="accent1">
                <a:lumMod val="45000"/>
                <a:lumOff val="55000"/>
              </a:schemeClr>
            </a:gs>
            <a:gs pos="83000">
              <a:schemeClr val="accent1">
                <a:lumMod val="45000"/>
                <a:lumOff val="55000"/>
              </a:schemeClr>
            </a:gs>
            <a:gs pos="100000">
              <a:schemeClr val="accent1">
                <a:lumMod val="30000"/>
                <a:lumOff val="70000"/>
              </a:schemeClr>
            </a:gs>
          </a:gsLst>
          <a:lin ang="5400000" scaled="1"/>
        </a:gradFill>
        <a:ln w="9525" cmpd="sng">
          <a:solidFill>
            <a:schemeClr val="lt1">
              <a:shade val="50000"/>
            </a:schemeClr>
          </a:solidFill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rtlCol="0" anchor="t"/>
        <a:lstStyle/>
        <a:p>
          <a:r>
            <a:rPr lang="en-GB" sz="1100" b="1"/>
            <a:t>Compound</a:t>
          </a:r>
          <a:r>
            <a:rPr lang="en-GB" sz="1100" b="1" baseline="0"/>
            <a:t> Section Properties Calculator</a:t>
          </a:r>
        </a:p>
        <a:p>
          <a:endParaRPr lang="en-GB" sz="1100" baseline="0"/>
        </a:p>
        <a:p>
          <a:r>
            <a:rPr lang="en-GB" sz="1100" baseline="0"/>
            <a:t>This sheet calculates the section properties of a compound section formed of a series of rectangles (max=6)</a:t>
          </a:r>
        </a:p>
        <a:p>
          <a:endParaRPr lang="en-GB" sz="1100" baseline="0"/>
        </a:p>
        <a:p>
          <a:r>
            <a:rPr lang="en-GB" sz="1100" baseline="0"/>
            <a:t>The elements are added from the bottom of the section.  </a:t>
          </a:r>
          <a:r>
            <a:rPr lang="en-GB" sz="1100" baseline="0">
              <a:solidFill>
                <a:schemeClr val="dk1"/>
              </a:solidFill>
              <a:effectLst/>
              <a:latin typeface="+mn-lt"/>
              <a:ea typeface="+mn-ea"/>
              <a:cs typeface="+mn-cs"/>
            </a:rPr>
            <a:t>The base axis is used to reference the y distance of an element. </a:t>
          </a:r>
          <a:r>
            <a:rPr lang="en-GB" sz="1100" baseline="0"/>
            <a:t> This version of the sheet will calculate this value automatically from the d values of the elements.</a:t>
          </a:r>
        </a:p>
        <a:p>
          <a:endParaRPr lang="en-GB" sz="1100" baseline="0"/>
        </a:p>
        <a:p>
          <a:r>
            <a:rPr lang="en-GB" sz="1100" baseline="0"/>
            <a:t>The only user input is in the b and d columns shown </a:t>
          </a:r>
          <a:r>
            <a:rPr lang="en-GB" sz="1100" baseline="0">
              <a:solidFill>
                <a:srgbClr val="FFFF00"/>
              </a:solidFill>
            </a:rPr>
            <a:t>yellow</a:t>
          </a:r>
          <a:r>
            <a:rPr lang="en-GB" sz="1100" baseline="0"/>
            <a:t>.</a:t>
          </a:r>
        </a:p>
        <a:p>
          <a:endParaRPr lang="en-GB" sz="1100" baseline="0"/>
        </a:p>
        <a:p>
          <a:r>
            <a:rPr lang="en-GB" sz="1100" baseline="0"/>
            <a:t>The results are presented in a tabular form in the same manner as if the calculation was done manually</a:t>
          </a:r>
        </a:p>
        <a:p>
          <a:endParaRPr lang="en-GB" sz="1100"/>
        </a:p>
      </xdr:txBody>
    </xdr:sp>
    <xdr:clientData fPrintsWithSheet="0"/>
  </xdr:twoCellAnchor>
  <xdr:twoCellAnchor>
    <xdr:from>
      <xdr:col>13</xdr:col>
      <xdr:colOff>460375</xdr:colOff>
      <xdr:row>12</xdr:row>
      <xdr:rowOff>97584</xdr:rowOff>
    </xdr:from>
    <xdr:to>
      <xdr:col>18</xdr:col>
      <xdr:colOff>269875</xdr:colOff>
      <xdr:row>18</xdr:row>
      <xdr:rowOff>114300</xdr:rowOff>
    </xdr:to>
    <xdr:grpSp>
      <xdr:nvGrpSpPr>
        <xdr:cNvPr id="1030" name="Group 11">
          <a:extLst>
            <a:ext uri="{FF2B5EF4-FFF2-40B4-BE49-F238E27FC236}">
              <a16:creationId xmlns:a16="http://schemas.microsoft.com/office/drawing/2014/main" id="{00000000-0008-0000-0000-000006040000}"/>
            </a:ext>
          </a:extLst>
        </xdr:cNvPr>
        <xdr:cNvGrpSpPr/>
      </xdr:nvGrpSpPr>
      <xdr:grpSpPr>
        <a:xfrm>
          <a:off x="8413750" y="2059734"/>
          <a:ext cx="2857500" cy="988266"/>
          <a:chOff x="6837028" y="1693890"/>
          <a:chExt cx="2937593" cy="285027"/>
        </a:xfrm>
      </xdr:grpSpPr>
      <xdr:cxnSp macro="">
        <xdr:nvCxnSpPr>
          <xdr:cNvPr id="13" name="Straight Connector 12">
            <a:extLst>
              <a:ext uri="{FF2B5EF4-FFF2-40B4-BE49-F238E27FC236}">
                <a16:creationId xmlns:a16="http://schemas.microsoft.com/office/drawing/2014/main" id="{00000000-0008-0000-0000-00000D000000}"/>
              </a:ext>
            </a:extLst>
          </xdr:cNvPr>
          <xdr:cNvCxnSpPr/>
        </xdr:nvCxnSpPr>
        <xdr:spPr>
          <a:xfrm>
            <a:off x="6837028" y="1978772"/>
            <a:ext cx="2937593" cy="0"/>
          </a:xfrm>
          <a:prstGeom prst="line">
            <a:avLst/>
          </a:prstGeom>
          <a:ln w="19050">
            <a:prstDash val="lgDashDot"/>
          </a:ln>
        </xdr:spPr>
        <xdr:style>
          <a:lnRef idx="1">
            <a:schemeClr val="accent1"/>
          </a:lnRef>
          <a:fillRef idx="0">
            <a:schemeClr val="accent1"/>
          </a:fillRef>
          <a:effectRef idx="0">
            <a:schemeClr val="accent1"/>
          </a:effectRef>
          <a:fontRef idx="minor">
            <a:schemeClr val="tx1"/>
          </a:fontRef>
        </xdr:style>
      </xdr:cxnSp>
      <xdr:cxnSp macro="">
        <xdr:nvCxnSpPr>
          <xdr:cNvPr id="17" name="Straight Arrow Connector 16">
            <a:extLst>
              <a:ext uri="{FF2B5EF4-FFF2-40B4-BE49-F238E27FC236}">
                <a16:creationId xmlns:a16="http://schemas.microsoft.com/office/drawing/2014/main" id="{00000000-0008-0000-0000-000011000000}"/>
              </a:ext>
            </a:extLst>
          </xdr:cNvPr>
          <xdr:cNvCxnSpPr/>
        </xdr:nvCxnSpPr>
        <xdr:spPr>
          <a:xfrm>
            <a:off x="6961158" y="1693890"/>
            <a:ext cx="0" cy="285027"/>
          </a:xfrm>
          <a:prstGeom prst="straightConnector1">
            <a:avLst/>
          </a:prstGeom>
          <a:ln>
            <a:headEnd type="triangle"/>
            <a:tailEnd type="triangle"/>
          </a:ln>
        </xdr:spPr>
        <xdr:style>
          <a:lnRef idx="1">
            <a:schemeClr val="accent1"/>
          </a:lnRef>
          <a:fillRef idx="0">
            <a:schemeClr val="accent1"/>
          </a:fillRef>
          <a:effectRef idx="0">
            <a:schemeClr val="accent1"/>
          </a:effectRef>
          <a:fontRef idx="minor">
            <a:schemeClr val="tx1"/>
          </a:fontRef>
        </xdr:style>
      </xdr:cxnSp>
      <xdr:cxnSp macro="">
        <xdr:nvCxnSpPr>
          <xdr:cNvPr id="28" name="Straight Connector 27">
            <a:extLst>
              <a:ext uri="{FF2B5EF4-FFF2-40B4-BE49-F238E27FC236}">
                <a16:creationId xmlns:a16="http://schemas.microsoft.com/office/drawing/2014/main" id="{00000000-0008-0000-0000-00001C000000}"/>
              </a:ext>
            </a:extLst>
          </xdr:cNvPr>
          <xdr:cNvCxnSpPr/>
        </xdr:nvCxnSpPr>
        <xdr:spPr>
          <a:xfrm>
            <a:off x="6837028" y="1695921"/>
            <a:ext cx="2937593" cy="0"/>
          </a:xfrm>
          <a:prstGeom prst="line">
            <a:avLst/>
          </a:prstGeom>
          <a:ln w="19050">
            <a:prstDash val="lgDashDot"/>
          </a:ln>
        </xdr:spPr>
        <xdr:style>
          <a:lnRef idx="1">
            <a:schemeClr val="accent1"/>
          </a:lnRef>
          <a:fillRef idx="0">
            <a:schemeClr val="accent1"/>
          </a:fillRef>
          <a:effectRef idx="0">
            <a:schemeClr val="accent1"/>
          </a:effectRef>
          <a:fontRef idx="minor">
            <a:schemeClr val="tx1"/>
          </a:fontRef>
        </xdr:style>
      </xdr:cxnSp>
    </xdr:grpSp>
    <xdr:clientData/>
  </xdr:twoCellAnchor>
  <xdr:twoCellAnchor>
    <xdr:from>
      <xdr:col>15</xdr:col>
      <xdr:colOff>543646</xdr:colOff>
      <xdr:row>2</xdr:row>
      <xdr:rowOff>57150</xdr:rowOff>
    </xdr:from>
    <xdr:to>
      <xdr:col>16</xdr:col>
      <xdr:colOff>211860</xdr:colOff>
      <xdr:row>20</xdr:row>
      <xdr:rowOff>151257</xdr:rowOff>
    </xdr:to>
    <xdr:grpSp>
      <xdr:nvGrpSpPr>
        <xdr:cNvPr id="40" name="Group 10">
          <a:extLst>
            <a:ext uri="{FF2B5EF4-FFF2-40B4-BE49-F238E27FC236}">
              <a16:creationId xmlns:a16="http://schemas.microsoft.com/office/drawing/2014/main" id="{00000000-0008-0000-0000-000028000000}"/>
            </a:ext>
          </a:extLst>
        </xdr:cNvPr>
        <xdr:cNvGrpSpPr/>
      </xdr:nvGrpSpPr>
      <xdr:grpSpPr>
        <a:xfrm>
          <a:off x="9716221" y="381000"/>
          <a:ext cx="277814" cy="3084957"/>
          <a:chOff x="10267950" y="176784"/>
          <a:chExt cx="277814" cy="3104007"/>
        </a:xfrm>
      </xdr:grpSpPr>
      <xdr:sp macro="" textlink="">
        <xdr:nvSpPr>
          <xdr:cNvPr id="21" name="TextBox 20">
            <a:extLst>
              <a:ext uri="{FF2B5EF4-FFF2-40B4-BE49-F238E27FC236}">
                <a16:creationId xmlns:a16="http://schemas.microsoft.com/office/drawing/2014/main" id="{00000000-0008-0000-0000-000015000000}"/>
              </a:ext>
            </a:extLst>
          </xdr:cNvPr>
          <xdr:cNvSpPr txBox="1"/>
        </xdr:nvSpPr>
        <xdr:spPr>
          <a:xfrm>
            <a:off x="10267950" y="176784"/>
            <a:ext cx="266700" cy="242316"/>
          </a:xfrm>
          <a:prstGeom prst="rect">
            <a:avLst/>
          </a:prstGeom>
          <a:solidFill>
            <a:schemeClr val="lt1"/>
          </a:solidFill>
          <a:ln w="9525" cmpd="sng">
            <a:noFill/>
          </a:ln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dk1"/>
          </a:fontRef>
        </xdr:style>
        <xdr:txBody>
          <a:bodyPr vertOverflow="clip" horzOverflow="clip" wrap="square" rtlCol="0" anchor="t"/>
          <a:lstStyle/>
          <a:p>
            <a:r>
              <a:rPr lang="en-GB" sz="1100"/>
              <a:t>Y</a:t>
            </a:r>
          </a:p>
        </xdr:txBody>
      </xdr:sp>
      <xdr:cxnSp macro="">
        <xdr:nvCxnSpPr>
          <xdr:cNvPr id="19" name="Straight Connector 18">
            <a:extLst>
              <a:ext uri="{FF2B5EF4-FFF2-40B4-BE49-F238E27FC236}">
                <a16:creationId xmlns:a16="http://schemas.microsoft.com/office/drawing/2014/main" id="{00000000-0008-0000-0000-000013000000}"/>
              </a:ext>
            </a:extLst>
          </xdr:cNvPr>
          <xdr:cNvCxnSpPr/>
        </xdr:nvCxnSpPr>
        <xdr:spPr>
          <a:xfrm flipV="1">
            <a:off x="10391775" y="485775"/>
            <a:ext cx="0" cy="2447925"/>
          </a:xfrm>
          <a:prstGeom prst="line">
            <a:avLst/>
          </a:prstGeom>
          <a:ln w="19050">
            <a:prstDash val="lgDashDot"/>
          </a:ln>
        </xdr:spPr>
        <xdr:style>
          <a:lnRef idx="1">
            <a:schemeClr val="accent1"/>
          </a:lnRef>
          <a:fillRef idx="0">
            <a:schemeClr val="accent1"/>
          </a:fillRef>
          <a:effectRef idx="0">
            <a:schemeClr val="accent1"/>
          </a:effectRef>
          <a:fontRef idx="minor">
            <a:schemeClr val="tx1"/>
          </a:fontRef>
        </xdr:style>
      </xdr:cxnSp>
      <xdr:sp macro="" textlink="">
        <xdr:nvSpPr>
          <xdr:cNvPr id="33" name="TextBox 32">
            <a:extLst>
              <a:ext uri="{FF2B5EF4-FFF2-40B4-BE49-F238E27FC236}">
                <a16:creationId xmlns:a16="http://schemas.microsoft.com/office/drawing/2014/main" id="{00000000-0008-0000-0000-000021000000}"/>
              </a:ext>
            </a:extLst>
          </xdr:cNvPr>
          <xdr:cNvSpPr txBox="1"/>
        </xdr:nvSpPr>
        <xdr:spPr>
          <a:xfrm>
            <a:off x="10269538" y="3028950"/>
            <a:ext cx="276226" cy="251841"/>
          </a:xfrm>
          <a:prstGeom prst="rect">
            <a:avLst/>
          </a:prstGeom>
          <a:solidFill>
            <a:schemeClr val="lt1"/>
          </a:solidFill>
          <a:ln w="9525" cmpd="sng">
            <a:noFill/>
          </a:ln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dk1"/>
          </a:fontRef>
        </xdr:style>
        <xdr:txBody>
          <a:bodyPr vertOverflow="clip" horzOverflow="clip" wrap="square" rtlCol="0" anchor="t"/>
          <a:lstStyle/>
          <a:p>
            <a:r>
              <a:rPr lang="en-GB" sz="1100"/>
              <a:t>Y</a:t>
            </a:r>
          </a:p>
        </xdr:txBody>
      </xdr:sp>
    </xdr:grpSp>
    <xdr:clientData/>
  </xdr:twoCellAnchor>
  <xdr:twoCellAnchor>
    <xdr:from>
      <xdr:col>14</xdr:col>
      <xdr:colOff>9525</xdr:colOff>
      <xdr:row>18</xdr:row>
      <xdr:rowOff>161707</xdr:rowOff>
    </xdr:from>
    <xdr:to>
      <xdr:col>18</xdr:col>
      <xdr:colOff>111125</xdr:colOff>
      <xdr:row>19</xdr:row>
      <xdr:rowOff>177800</xdr:rowOff>
    </xdr:to>
    <xdr:grpSp>
      <xdr:nvGrpSpPr>
        <xdr:cNvPr id="3" name="Group 12">
          <a:extLst>
            <a:ext uri="{FF2B5EF4-FFF2-40B4-BE49-F238E27FC236}">
              <a16:creationId xmlns:a16="http://schemas.microsoft.com/office/drawing/2014/main" id="{00000000-0008-0000-0000-000003000000}"/>
            </a:ext>
          </a:extLst>
        </xdr:cNvPr>
        <xdr:cNvGrpSpPr/>
      </xdr:nvGrpSpPr>
      <xdr:grpSpPr>
        <a:xfrm>
          <a:off x="8572500" y="3095407"/>
          <a:ext cx="2540000" cy="206593"/>
          <a:chOff x="7036347" y="2552482"/>
          <a:chExt cx="2596056" cy="219293"/>
        </a:xfrm>
      </xdr:grpSpPr>
      <xdr:sp macro="" textlink="">
        <xdr:nvSpPr>
          <xdr:cNvPr id="42" name="TextBox 41">
            <a:extLst>
              <a:ext uri="{FF2B5EF4-FFF2-40B4-BE49-F238E27FC236}">
                <a16:creationId xmlns:a16="http://schemas.microsoft.com/office/drawing/2014/main" id="{00000000-0008-0000-0000-00002A000000}"/>
              </a:ext>
            </a:extLst>
          </xdr:cNvPr>
          <xdr:cNvSpPr txBox="1"/>
        </xdr:nvSpPr>
        <xdr:spPr>
          <a:xfrm>
            <a:off x="9022803" y="2552482"/>
            <a:ext cx="609600" cy="215023"/>
          </a:xfrm>
          <a:prstGeom prst="rect">
            <a:avLst/>
          </a:prstGeom>
          <a:noFill/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tx1"/>
          </a:fontRef>
        </xdr:style>
        <xdr:txBody>
          <a:bodyPr vertOverflow="clip" horzOverflow="clip" wrap="none" rtlCol="0" anchor="t">
            <a:noAutofit/>
          </a:bodyPr>
          <a:lstStyle/>
          <a:p>
            <a:r>
              <a:rPr lang="en-GB" sz="1100"/>
              <a:t>AXIS</a:t>
            </a:r>
          </a:p>
        </xdr:txBody>
      </xdr:sp>
      <xdr:sp macro="" textlink="">
        <xdr:nvSpPr>
          <xdr:cNvPr id="2" name="TextBox 1">
            <a:extLst>
              <a:ext uri="{FF2B5EF4-FFF2-40B4-BE49-F238E27FC236}">
                <a16:creationId xmlns:a16="http://schemas.microsoft.com/office/drawing/2014/main" id="{00000000-0008-0000-0000-000002000000}"/>
              </a:ext>
            </a:extLst>
          </xdr:cNvPr>
          <xdr:cNvSpPr txBox="1"/>
        </xdr:nvSpPr>
        <xdr:spPr>
          <a:xfrm>
            <a:off x="7036347" y="2559051"/>
            <a:ext cx="609600" cy="212724"/>
          </a:xfrm>
          <a:prstGeom prst="rect">
            <a:avLst/>
          </a:prstGeom>
          <a:noFill/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tx1"/>
          </a:fontRef>
        </xdr:style>
        <xdr:txBody>
          <a:bodyPr vertOverflow="clip" horzOverflow="clip" wrap="none" rtlCol="0" anchor="t">
            <a:noAutofit/>
          </a:bodyPr>
          <a:lstStyle/>
          <a:p>
            <a:r>
              <a:rPr lang="en-GB" sz="1100"/>
              <a:t>BASE</a:t>
            </a:r>
          </a:p>
        </xdr:txBody>
      </xdr:sp>
    </xdr:grpSp>
    <xdr:clientData/>
  </xdr:twoCellAnchor>
  <xdr:twoCellAnchor>
    <xdr:from>
      <xdr:col>13</xdr:col>
      <xdr:colOff>269875</xdr:colOff>
      <xdr:row>11</xdr:row>
      <xdr:rowOff>124572</xdr:rowOff>
    </xdr:from>
    <xdr:to>
      <xdr:col>18</xdr:col>
      <xdr:colOff>460375</xdr:colOff>
      <xdr:row>13</xdr:row>
      <xdr:rowOff>70597</xdr:rowOff>
    </xdr:to>
    <xdr:grpSp>
      <xdr:nvGrpSpPr>
        <xdr:cNvPr id="6" name="Group 13">
          <a:extLst>
            <a:ext uri="{FF2B5EF4-FFF2-40B4-BE49-F238E27FC236}">
              <a16:creationId xmlns:a16="http://schemas.microsoft.com/office/drawing/2014/main" id="{00000000-0008-0000-0000-000006000000}"/>
            </a:ext>
          </a:extLst>
        </xdr:cNvPr>
        <xdr:cNvGrpSpPr/>
      </xdr:nvGrpSpPr>
      <xdr:grpSpPr>
        <a:xfrm>
          <a:off x="8223250" y="1924797"/>
          <a:ext cx="3238500" cy="269875"/>
          <a:chOff x="6781800" y="1547813"/>
          <a:chExt cx="2943225" cy="266700"/>
        </a:xfrm>
      </xdr:grpSpPr>
      <xdr:sp macro="" textlink="">
        <xdr:nvSpPr>
          <xdr:cNvPr id="4" name="TextBox 3">
            <a:extLst>
              <a:ext uri="{FF2B5EF4-FFF2-40B4-BE49-F238E27FC236}">
                <a16:creationId xmlns:a16="http://schemas.microsoft.com/office/drawing/2014/main" id="{00000000-0008-0000-0000-000004000000}"/>
              </a:ext>
            </a:extLst>
          </xdr:cNvPr>
          <xdr:cNvSpPr txBox="1"/>
        </xdr:nvSpPr>
        <xdr:spPr>
          <a:xfrm>
            <a:off x="9448800" y="1547813"/>
            <a:ext cx="276225" cy="266700"/>
          </a:xfrm>
          <a:prstGeom prst="rect">
            <a:avLst/>
          </a:prstGeom>
          <a:solidFill>
            <a:schemeClr val="lt1"/>
          </a:solidFill>
          <a:ln w="9525" cmpd="sng">
            <a:noFill/>
          </a:ln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dk1"/>
          </a:fontRef>
        </xdr:style>
        <xdr:txBody>
          <a:bodyPr vertOverflow="clip" horzOverflow="clip" wrap="square" rtlCol="0" anchor="t"/>
          <a:lstStyle/>
          <a:p>
            <a:r>
              <a:rPr lang="en-GB" sz="1100"/>
              <a:t>A</a:t>
            </a:r>
          </a:p>
        </xdr:txBody>
      </xdr:sp>
      <xdr:sp macro="" textlink="">
        <xdr:nvSpPr>
          <xdr:cNvPr id="29" name="TextBox 28">
            <a:extLst>
              <a:ext uri="{FF2B5EF4-FFF2-40B4-BE49-F238E27FC236}">
                <a16:creationId xmlns:a16="http://schemas.microsoft.com/office/drawing/2014/main" id="{00000000-0008-0000-0000-00001D000000}"/>
              </a:ext>
            </a:extLst>
          </xdr:cNvPr>
          <xdr:cNvSpPr txBox="1"/>
        </xdr:nvSpPr>
        <xdr:spPr>
          <a:xfrm>
            <a:off x="6781800" y="1547813"/>
            <a:ext cx="276225" cy="266700"/>
          </a:xfrm>
          <a:prstGeom prst="rect">
            <a:avLst/>
          </a:prstGeom>
          <a:solidFill>
            <a:schemeClr val="lt1"/>
          </a:solidFill>
          <a:ln w="9525" cmpd="sng">
            <a:noFill/>
          </a:ln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dk1"/>
          </a:fontRef>
        </xdr:style>
        <xdr:txBody>
          <a:bodyPr vertOverflow="clip" horzOverflow="clip" wrap="square" rtlCol="0" anchor="t"/>
          <a:lstStyle/>
          <a:p>
            <a:r>
              <a:rPr lang="en-GB" sz="1100"/>
              <a:t>N</a:t>
            </a:r>
          </a:p>
        </xdr:txBody>
      </xdr:sp>
    </xdr:grpSp>
    <xdr:clientData/>
  </xdr:twoCellAnchor>
  <xdr:twoCellAnchor>
    <xdr:from>
      <xdr:col>13</xdr:col>
      <xdr:colOff>365125</xdr:colOff>
      <xdr:row>14</xdr:row>
      <xdr:rowOff>124992</xdr:rowOff>
    </xdr:from>
    <xdr:to>
      <xdr:col>13</xdr:col>
      <xdr:colOff>584200</xdr:colOff>
      <xdr:row>16</xdr:row>
      <xdr:rowOff>86892</xdr:rowOff>
    </xdr:to>
    <xdr:sp macro="" textlink="">
      <xdr:nvSpPr>
        <xdr:cNvPr id="7" name="TextBox 6">
          <a:extLst>
            <a:ext uri="{FF2B5EF4-FFF2-40B4-BE49-F238E27FC236}">
              <a16:creationId xmlns:a16="http://schemas.microsoft.com/office/drawing/2014/main" id="{00000000-0008-0000-0000-000007000000}"/>
            </a:ext>
          </a:extLst>
        </xdr:cNvPr>
        <xdr:cNvSpPr txBox="1"/>
      </xdr:nvSpPr>
      <xdr:spPr>
        <a:xfrm>
          <a:off x="8318500" y="2410992"/>
          <a:ext cx="219075" cy="285750"/>
        </a:xfrm>
        <a:prstGeom prst="rect">
          <a:avLst/>
        </a:prstGeom>
        <a:solidFill>
          <a:schemeClr val="lt1"/>
        </a:solidFill>
        <a:ln w="9525" cmpd="sng">
          <a:noFill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rtlCol="0" anchor="t"/>
        <a:lstStyle/>
        <a:p>
          <a:r>
            <a:rPr lang="en-GB" sz="1100"/>
            <a:t>ỹ</a:t>
          </a:r>
        </a:p>
      </xdr:txBody>
    </xdr:sp>
    <xdr:clientData/>
  </xdr:twoCellAnchor>
  <xdr:oneCellAnchor>
    <xdr:from>
      <xdr:col>10</xdr:col>
      <xdr:colOff>552450</xdr:colOff>
      <xdr:row>17</xdr:row>
      <xdr:rowOff>104775</xdr:rowOff>
    </xdr:from>
    <xdr:ext cx="184731" cy="264560"/>
    <xdr:sp macro="" textlink="">
      <xdr:nvSpPr>
        <xdr:cNvPr id="5" name="TextBox 4" hidden="1">
          <a:extLst>
            <a:ext uri="{FF2B5EF4-FFF2-40B4-BE49-F238E27FC236}">
              <a16:creationId xmlns:a16="http://schemas.microsoft.com/office/drawing/2014/main" id="{00000000-0008-0000-0000-000005000000}"/>
            </a:ext>
          </a:extLst>
        </xdr:cNvPr>
        <xdr:cNvSpPr txBox="1"/>
      </xdr:nvSpPr>
      <xdr:spPr>
        <a:xfrm>
          <a:off x="6705600" y="2876550"/>
          <a:ext cx="184731" cy="264560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rtlCol="0" anchor="t">
          <a:spAutoFit/>
        </a:bodyPr>
        <a:lstStyle/>
        <a:p>
          <a:endParaRPr lang="en-GB" sz="1100"/>
        </a:p>
      </xdr:txBody>
    </xdr:sp>
    <xdr:clientData/>
  </xdr:oneCellAnchor>
  <xdr:twoCellAnchor>
    <xdr:from>
      <xdr:col>12</xdr:col>
      <xdr:colOff>593725</xdr:colOff>
      <xdr:row>1</xdr:row>
      <xdr:rowOff>155575</xdr:rowOff>
    </xdr:from>
    <xdr:to>
      <xdr:col>19</xdr:col>
      <xdr:colOff>136525</xdr:colOff>
      <xdr:row>20</xdr:row>
      <xdr:rowOff>177800</xdr:rowOff>
    </xdr:to>
    <xdr:sp macro="" textlink="">
      <xdr:nvSpPr>
        <xdr:cNvPr id="8" name="Rectangle 7">
          <a:extLst>
            <a:ext uri="{FF2B5EF4-FFF2-40B4-BE49-F238E27FC236}">
              <a16:creationId xmlns:a16="http://schemas.microsoft.com/office/drawing/2014/main" id="{00000000-0008-0000-0000-000008000000}"/>
            </a:ext>
          </a:extLst>
        </xdr:cNvPr>
        <xdr:cNvSpPr/>
      </xdr:nvSpPr>
      <xdr:spPr>
        <a:xfrm>
          <a:off x="7937500" y="317500"/>
          <a:ext cx="3810000" cy="3175000"/>
        </a:xfrm>
        <a:prstGeom prst="rect">
          <a:avLst/>
        </a:prstGeom>
        <a:noFill/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en-GB" sz="1100"/>
        </a:p>
      </xdr:txBody>
    </xdr:sp>
    <xdr:clientData/>
  </xdr:twoCellAnchor>
</xdr:wsDr>
</file>

<file path=xl/theme/theme1.xml><?xml version="1.0" encoding="utf-8"?>
<a:theme xmlns:a="http://schemas.openxmlformats.org/drawingml/2006/main" name="Office Theme">
  <a:themeElements>
    <a:clrScheme name="Office">
      <a:dk1>
        <a:sysClr val="windowText" lastClr="000000"/>
      </a:dk1>
      <a:lt1>
        <a:sysClr val="window" lastClr="FFFFFF"/>
      </a:lt1>
      <a:dk2>
        <a:srgbClr val="1F497D"/>
      </a:dk2>
      <a:lt2>
        <a:srgbClr val="EEECE1"/>
      </a:lt2>
      <a:accent1>
        <a:srgbClr val="4F81BD"/>
      </a:accent1>
      <a:accent2>
        <a:srgbClr val="C0504D"/>
      </a:accent2>
      <a:accent3>
        <a:srgbClr val="9BBB59"/>
      </a:accent3>
      <a:accent4>
        <a:srgbClr val="8064A2"/>
      </a:accent4>
      <a:accent5>
        <a:srgbClr val="4BACC6"/>
      </a:accent5>
      <a:accent6>
        <a:srgbClr val="F79646"/>
      </a:accent6>
      <a:hlink>
        <a:srgbClr val="0000FF"/>
      </a:hlink>
      <a:folHlink>
        <a:srgbClr val="800080"/>
      </a:folHlink>
    </a:clrScheme>
    <a:fontScheme name="Office">
      <a:majorFont>
        <a:latin typeface="Cambria" panose="020F0302020204030204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ajorFont>
      <a:minorFont>
        <a:latin typeface="Calibri" panose="020F0502020204030204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tint val="50000"/>
                <a:satMod val="300000"/>
              </a:schemeClr>
            </a:gs>
            <a:gs pos="35000">
              <a:schemeClr val="phClr">
                <a:tint val="37000"/>
                <a:satMod val="300000"/>
              </a:schemeClr>
            </a:gs>
            <a:gs pos="100000">
              <a:schemeClr val="phClr">
                <a:tint val="15000"/>
                <a:satMod val="350000"/>
              </a:schemeClr>
            </a:gs>
          </a:gsLst>
          <a:lin ang="16200000" scaled="1"/>
        </a:gradFill>
        <a:gradFill rotWithShape="1">
          <a:gsLst>
            <a:gs pos="0">
              <a:schemeClr val="phClr">
                <a:shade val="51000"/>
                <a:satMod val="130000"/>
              </a:schemeClr>
            </a:gs>
            <a:gs pos="80000">
              <a:schemeClr val="phClr">
                <a:shade val="93000"/>
                <a:satMod val="130000"/>
              </a:schemeClr>
            </a:gs>
            <a:gs pos="100000">
              <a:schemeClr val="phClr">
                <a:shade val="94000"/>
                <a:satMod val="135000"/>
              </a:schemeClr>
            </a:gs>
          </a:gsLst>
          <a:lin ang="16200000" scaled="0"/>
        </a:gradFill>
      </a:fillStyleLst>
      <a:lnStyleLst>
        <a:ln w="9525" cap="flat" cmpd="sng" algn="ctr">
          <a:solidFill>
            <a:schemeClr val="phClr">
              <a:shade val="95000"/>
              <a:satMod val="105000"/>
            </a:schemeClr>
          </a:solidFill>
          <a:prstDash val="solid"/>
        </a:ln>
        <a:ln w="25400" cap="flat" cmpd="sng" algn="ctr">
          <a:solidFill>
            <a:schemeClr val="phClr"/>
          </a:solidFill>
          <a:prstDash val="solid"/>
        </a:ln>
        <a:ln w="38100" cap="flat" cmpd="sng" algn="ctr">
          <a:solidFill>
            <a:schemeClr val="phClr"/>
          </a:solidFill>
          <a:prstDash val="solid"/>
        </a:ln>
      </a:lnStyleLst>
      <a:effectStyleLst>
        <a:effectStyle>
          <a:effectLst>
            <a:outerShdw blurRad="40000" dist="20000" dir="5400000" rotWithShape="0">
              <a:srgbClr val="000000">
                <a:alpha val="38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  <a:scene3d>
            <a:camera prst="orthographicFront">
              <a:rot lat="0" lon="0" rev="0"/>
            </a:camera>
            <a:lightRig rig="threePt" dir="t">
              <a:rot lat="0" lon="0" rev="1200000"/>
            </a:lightRig>
          </a:scene3d>
          <a:sp3d>
            <a:bevelT w="63500" h="25400"/>
          </a:sp3d>
        </a:effectStyle>
      </a:effectStyleLst>
      <a:bgFillStyleLst>
        <a:solidFill>
          <a:schemeClr val="phClr"/>
        </a:solidFill>
        <a:gradFill rotWithShape="1">
          <a:gsLst>
            <a:gs pos="0">
              <a:schemeClr val="phClr">
                <a:tint val="40000"/>
                <a:satMod val="350000"/>
              </a:schemeClr>
            </a:gs>
            <a:gs pos="40000">
              <a:schemeClr val="phClr">
                <a:tint val="45000"/>
                <a:shade val="99000"/>
                <a:satMod val="350000"/>
              </a:schemeClr>
            </a:gs>
            <a:gs pos="100000">
              <a:schemeClr val="phClr">
                <a:shade val="20000"/>
                <a:satMod val="255000"/>
              </a:schemeClr>
            </a:gs>
          </a:gsLst>
          <a:path path="circle">
            <a:fillToRect l="50000" t="-80000" r="50000" b="180000"/>
          </a:path>
        </a:gradFill>
        <a:gradFill rotWithShape="1">
          <a:gsLst>
            <a:gs pos="0">
              <a:schemeClr val="phClr">
                <a:tint val="80000"/>
                <a:satMod val="300000"/>
              </a:schemeClr>
            </a:gs>
            <a:gs pos="100000">
              <a:schemeClr val="phClr">
                <a:shade val="30000"/>
                <a:satMod val="200000"/>
              </a:schemeClr>
            </a:gs>
          </a:gsLst>
          <a:path path="circle">
            <a:fillToRect l="50000" t="50000" r="50000" b="50000"/>
          </a:path>
        </a:gradFill>
      </a:bgFillStyleLst>
    </a:fmtScheme>
  </a:themeElements>
  <a:objectDefaults/>
  <a:extraClrSchemeLst/>
</a:theme>
</file>

<file path=xl/worksheets/_rels/sheet1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1.xml"/><Relationship Id="rId1" Type="http://schemas.openxmlformats.org/officeDocument/2006/relationships/printerSettings" Target="../printerSettings/printerSettings1.bin"/></Relationships>
</file>

<file path=xl/worksheets/sheet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">
    <pageSetUpPr fitToPage="1"/>
  </sheetPr>
  <dimension ref="A2:N24"/>
  <sheetViews>
    <sheetView showGridLines="0" showZeros="0" tabSelected="1" zoomScaleNormal="100" workbookViewId="0">
      <selection activeCell="S7" sqref="S7"/>
    </sheetView>
  </sheetViews>
  <sheetFormatPr defaultRowHeight="12.75" x14ac:dyDescent="0.2"/>
  <cols>
    <col min="1" max="1" width="3.7109375" style="1" customWidth="1"/>
    <col min="2" max="2" width="21.140625" customWidth="1"/>
    <col min="3" max="4" width="6.28515625" customWidth="1"/>
    <col min="5" max="10" width="9.140625" customWidth="1"/>
    <col min="11" max="11" width="8.7109375" customWidth="1"/>
  </cols>
  <sheetData>
    <row r="2" spans="1:14" x14ac:dyDescent="0.2">
      <c r="B2" s="17" t="s">
        <v>16</v>
      </c>
      <c r="C2" s="17"/>
      <c r="D2" s="17"/>
      <c r="E2" s="17"/>
      <c r="F2" s="17"/>
      <c r="G2" s="17"/>
      <c r="H2" s="17"/>
      <c r="I2" s="17"/>
      <c r="J2" s="17"/>
      <c r="N2" s="7"/>
    </row>
    <row r="4" spans="1:14" x14ac:dyDescent="0.2">
      <c r="A4" s="1" t="s">
        <v>19</v>
      </c>
      <c r="B4" s="1" t="s">
        <v>0</v>
      </c>
      <c r="C4" s="1" t="s">
        <v>1</v>
      </c>
      <c r="D4" s="1" t="s">
        <v>2</v>
      </c>
      <c r="E4" s="1" t="s">
        <v>3</v>
      </c>
      <c r="F4" s="1" t="s">
        <v>4</v>
      </c>
      <c r="G4" s="1" t="s">
        <v>5</v>
      </c>
      <c r="H4" s="1" t="s">
        <v>12</v>
      </c>
      <c r="I4" s="1" t="s">
        <v>6</v>
      </c>
      <c r="J4" s="1" t="s">
        <v>27</v>
      </c>
      <c r="K4" s="13" t="s">
        <v>28</v>
      </c>
    </row>
    <row r="5" spans="1:14" s="1" customFormat="1" ht="14.25" x14ac:dyDescent="0.2">
      <c r="C5" s="1" t="s">
        <v>7</v>
      </c>
      <c r="D5" s="1" t="s">
        <v>7</v>
      </c>
      <c r="E5" s="1" t="s">
        <v>31</v>
      </c>
      <c r="F5" s="1" t="s">
        <v>7</v>
      </c>
      <c r="G5" s="1" t="s">
        <v>8</v>
      </c>
      <c r="H5" s="1" t="s">
        <v>7</v>
      </c>
      <c r="I5" s="1" t="s">
        <v>9</v>
      </c>
      <c r="J5" s="1" t="s">
        <v>9</v>
      </c>
      <c r="K5" s="13" t="s">
        <v>9</v>
      </c>
    </row>
    <row r="6" spans="1:14" x14ac:dyDescent="0.2">
      <c r="A6" s="18">
        <f>IF(E6=0,"",1)</f>
        <v>1</v>
      </c>
      <c r="B6" t="s">
        <v>20</v>
      </c>
      <c r="C6" s="8">
        <v>30</v>
      </c>
      <c r="D6" s="8">
        <v>3</v>
      </c>
      <c r="E6" s="4">
        <f>C6*D6</f>
        <v>90</v>
      </c>
      <c r="F6" s="9">
        <f>IF(E6,D6/2,0)</f>
        <v>1.5</v>
      </c>
      <c r="G6" s="4">
        <f>E6*F6</f>
        <v>135</v>
      </c>
      <c r="H6" s="3">
        <f t="shared" ref="H6:H11" si="0">IF(F6,F6-$I$17,)</f>
        <v>-14.063241106719367</v>
      </c>
      <c r="I6" s="4">
        <f>E6*H6^2</f>
        <v>17799.727538314924</v>
      </c>
      <c r="J6" s="4">
        <f>(C6*D6^3)/12</f>
        <v>67.5</v>
      </c>
      <c r="K6" s="4">
        <f>(D6*C6^3)/12</f>
        <v>6750</v>
      </c>
    </row>
    <row r="7" spans="1:14" x14ac:dyDescent="0.2">
      <c r="A7" s="18">
        <f>IF(E7=0,"",2)</f>
        <v>2</v>
      </c>
      <c r="B7" t="s">
        <v>18</v>
      </c>
      <c r="C7" s="8">
        <v>3</v>
      </c>
      <c r="D7" s="8">
        <v>25</v>
      </c>
      <c r="E7" s="4">
        <f t="shared" ref="E7:E11" si="1">C7*D7</f>
        <v>75</v>
      </c>
      <c r="F7" s="9">
        <f>IF(E7,D6+D7/2,0)</f>
        <v>15.5</v>
      </c>
      <c r="G7" s="4">
        <f t="shared" ref="G7:G11" si="2">E7*F7</f>
        <v>1162.5</v>
      </c>
      <c r="H7" s="3">
        <f t="shared" si="0"/>
        <v>-6.3241106719367224E-2</v>
      </c>
      <c r="I7" s="4">
        <f t="shared" ref="I7:I11" si="3">E7*H7^2</f>
        <v>0.2999578184317796</v>
      </c>
      <c r="J7" s="4">
        <f t="shared" ref="J7:J11" si="4">(C7*D7^3)/12</f>
        <v>3906.25</v>
      </c>
      <c r="K7" s="4">
        <f t="shared" ref="K7:K11" si="5">(D7*C7^3)/12</f>
        <v>56.25</v>
      </c>
    </row>
    <row r="8" spans="1:14" x14ac:dyDescent="0.2">
      <c r="A8" s="18">
        <f>IF(E8=0,"",3)</f>
        <v>3</v>
      </c>
      <c r="B8" t="s">
        <v>17</v>
      </c>
      <c r="C8" s="8">
        <v>22</v>
      </c>
      <c r="D8" s="8">
        <v>4</v>
      </c>
      <c r="E8" s="4">
        <f t="shared" si="1"/>
        <v>88</v>
      </c>
      <c r="F8" s="9">
        <f>IF(E8,D6+D7+D8/2,0)</f>
        <v>30</v>
      </c>
      <c r="G8" s="4">
        <f t="shared" si="2"/>
        <v>2640</v>
      </c>
      <c r="H8" s="3">
        <f t="shared" si="0"/>
        <v>14.436758893280633</v>
      </c>
      <c r="I8" s="4">
        <f t="shared" si="3"/>
        <v>18340.960646159136</v>
      </c>
      <c r="J8" s="4">
        <f t="shared" si="4"/>
        <v>117.33333333333333</v>
      </c>
      <c r="K8" s="4">
        <f t="shared" si="5"/>
        <v>3549.3333333333335</v>
      </c>
    </row>
    <row r="9" spans="1:14" x14ac:dyDescent="0.2">
      <c r="A9" s="18" t="str">
        <f>IF(E9=0,"",4)</f>
        <v/>
      </c>
      <c r="C9" s="8"/>
      <c r="D9" s="8"/>
      <c r="E9" s="4">
        <f t="shared" si="1"/>
        <v>0</v>
      </c>
      <c r="F9" s="9">
        <f>IF(E9,D6+D7+D8+D9/2,0)</f>
        <v>0</v>
      </c>
      <c r="G9" s="4">
        <f t="shared" si="2"/>
        <v>0</v>
      </c>
      <c r="H9" s="3">
        <f t="shared" si="0"/>
        <v>0</v>
      </c>
      <c r="I9" s="4">
        <f t="shared" si="3"/>
        <v>0</v>
      </c>
      <c r="J9" s="4">
        <f t="shared" si="4"/>
        <v>0</v>
      </c>
      <c r="K9" s="4">
        <f t="shared" si="5"/>
        <v>0</v>
      </c>
      <c r="M9" s="7"/>
    </row>
    <row r="10" spans="1:14" x14ac:dyDescent="0.2">
      <c r="A10" s="18" t="str">
        <f>IF(E10=0,"",5)</f>
        <v/>
      </c>
      <c r="C10" s="8"/>
      <c r="D10" s="8"/>
      <c r="E10" s="4">
        <f t="shared" si="1"/>
        <v>0</v>
      </c>
      <c r="F10" s="9">
        <f>IF(E10,D6+D7+D8+D9+D10/2,0)</f>
        <v>0</v>
      </c>
      <c r="G10" s="4">
        <f t="shared" si="2"/>
        <v>0</v>
      </c>
      <c r="H10" s="3">
        <f t="shared" si="0"/>
        <v>0</v>
      </c>
      <c r="I10" s="4">
        <f t="shared" si="3"/>
        <v>0</v>
      </c>
      <c r="J10" s="4">
        <f t="shared" si="4"/>
        <v>0</v>
      </c>
      <c r="K10" s="4">
        <f t="shared" si="5"/>
        <v>0</v>
      </c>
    </row>
    <row r="11" spans="1:14" x14ac:dyDescent="0.2">
      <c r="A11" s="18" t="str">
        <f>IF(E11=0,"",6)</f>
        <v/>
      </c>
      <c r="C11" s="8"/>
      <c r="D11" s="14"/>
      <c r="E11" s="5">
        <f t="shared" si="1"/>
        <v>0</v>
      </c>
      <c r="F11" s="9">
        <f>IF(E11,D7+D8+D9+D10+D11/2,0)</f>
        <v>0</v>
      </c>
      <c r="G11" s="5">
        <f t="shared" si="2"/>
        <v>0</v>
      </c>
      <c r="H11" s="6">
        <f t="shared" si="0"/>
        <v>0</v>
      </c>
      <c r="I11" s="5">
        <f t="shared" si="3"/>
        <v>0</v>
      </c>
      <c r="J11" s="5">
        <f t="shared" si="4"/>
        <v>0</v>
      </c>
      <c r="K11" s="5">
        <f t="shared" si="5"/>
        <v>0</v>
      </c>
    </row>
    <row r="12" spans="1:14" x14ac:dyDescent="0.2">
      <c r="C12" s="2" t="s">
        <v>13</v>
      </c>
      <c r="D12" s="4">
        <f>SUM(D6:D11)</f>
        <v>32</v>
      </c>
      <c r="E12" s="4">
        <f>SUM(E6:E11)</f>
        <v>253</v>
      </c>
      <c r="F12" s="3"/>
      <c r="G12" s="4">
        <f>SUM(G6:G11)</f>
        <v>3937.5</v>
      </c>
      <c r="I12" s="4">
        <f>SUM(I6:I11)</f>
        <v>36140.988142292495</v>
      </c>
      <c r="J12" s="4">
        <f>SUM(J6:J11)</f>
        <v>4091.0833333333335</v>
      </c>
      <c r="K12" s="4">
        <f>SUM(K6:K11)</f>
        <v>10355.583333333334</v>
      </c>
    </row>
    <row r="17" spans="1:10" x14ac:dyDescent="0.2">
      <c r="A17" s="13"/>
      <c r="H17" s="12" t="s">
        <v>10</v>
      </c>
      <c r="I17" s="10">
        <f>G12/E12</f>
        <v>15.563241106719367</v>
      </c>
      <c r="J17" s="15" t="s">
        <v>11</v>
      </c>
    </row>
    <row r="18" spans="1:10" x14ac:dyDescent="0.2">
      <c r="H18" s="12" t="s">
        <v>14</v>
      </c>
      <c r="I18" s="11">
        <f>E12</f>
        <v>253</v>
      </c>
      <c r="J18" s="15" t="s">
        <v>15</v>
      </c>
    </row>
    <row r="19" spans="1:10" ht="15" x14ac:dyDescent="0.25">
      <c r="H19" s="12" t="s">
        <v>24</v>
      </c>
      <c r="I19" s="11">
        <f>I12+J12</f>
        <v>40232.071475625831</v>
      </c>
      <c r="J19" s="16" t="s">
        <v>25</v>
      </c>
    </row>
    <row r="20" spans="1:10" ht="15" x14ac:dyDescent="0.25">
      <c r="H20" s="12" t="s">
        <v>29</v>
      </c>
      <c r="I20" s="11">
        <f>K12</f>
        <v>10355.583333333334</v>
      </c>
      <c r="J20" s="16" t="s">
        <v>25</v>
      </c>
    </row>
    <row r="21" spans="1:10" ht="14.25" x14ac:dyDescent="0.25">
      <c r="H21" s="12" t="s">
        <v>22</v>
      </c>
      <c r="I21" s="11">
        <f>MIN(I19/I17,I19/(D12-I17))</f>
        <v>2447.6888501462872</v>
      </c>
      <c r="J21" s="16" t="s">
        <v>26</v>
      </c>
    </row>
    <row r="22" spans="1:10" ht="14.25" x14ac:dyDescent="0.25">
      <c r="H22" s="12" t="s">
        <v>23</v>
      </c>
      <c r="I22" s="11">
        <f>MAX(I19/I17,I19/(D12-I17))</f>
        <v>2585.0702433862439</v>
      </c>
      <c r="J22" s="16" t="s">
        <v>26</v>
      </c>
    </row>
    <row r="23" spans="1:10" ht="14.25" x14ac:dyDescent="0.25">
      <c r="H23" s="12" t="s">
        <v>30</v>
      </c>
      <c r="I23" s="10">
        <f>SQRT(I19/I18)</f>
        <v>12.610315038023629</v>
      </c>
      <c r="J23" s="16" t="s">
        <v>11</v>
      </c>
    </row>
    <row r="24" spans="1:10" ht="14.25" x14ac:dyDescent="0.25">
      <c r="H24" s="12" t="s">
        <v>21</v>
      </c>
      <c r="I24" s="10">
        <f>SQRT(I20/I18)</f>
        <v>6.3977464329472964</v>
      </c>
      <c r="J24" s="16" t="s">
        <v>11</v>
      </c>
    </row>
  </sheetData>
  <mergeCells count="1">
    <mergeCell ref="B2:J2"/>
  </mergeCells>
  <pageMargins left="0.7" right="0.7" top="0.75" bottom="0.75" header="0.3" footer="0.3"/>
  <pageSetup paperSize="9" scale="91" orientation="landscape" r:id="rId1"/>
  <drawing r:id="rId2"/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2" baseType="variant">
      <vt:variant>
        <vt:lpstr>Worksheets</vt:lpstr>
      </vt:variant>
      <vt:variant>
        <vt:i4>1</vt:i4>
      </vt:variant>
    </vt:vector>
  </HeadingPairs>
  <TitlesOfParts>
    <vt:vector size="1" baseType="lpstr">
      <vt:lpstr>Compound Sections</vt:lpstr>
    </vt:vector>
  </TitlesOfParts>
  <Company>Mott MacDonald</Company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pop48892</dc:creator>
  <cp:lastModifiedBy>Tim Pope</cp:lastModifiedBy>
  <cp:lastPrinted>2017-12-15T16:44:20Z</cp:lastPrinted>
  <dcterms:created xsi:type="dcterms:W3CDTF">2014-01-09T13:48:53Z</dcterms:created>
  <dcterms:modified xsi:type="dcterms:W3CDTF">2017-12-19T16:50:02Z</dcterms:modified>
</cp:coreProperties>
</file>